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'Costs'!$H$48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7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7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<sst xmlns="http://schemas.openxmlformats.org/spreadsheetml/2006/main" count="582" uniqueCount="266">
  <si>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</si>
  <si>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</si>
  <si>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</si>
  <si>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</si>
  <si>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</si>
  <si>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</si>
  <si>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</si>
  <si>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</si>
  <si>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</si>
  <si>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</si>
  <si>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</si>
  <si>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</si>
  <si>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</si>
  <si>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</si>
  <si>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</si>
  <si>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</si>
  <si>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</si>
  <si>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02016D104MAT4A</t>
  </si>
  <si>
    <t>2</t>
  </si>
  <si>
    <t>C505</t>
  </si>
  <si>
    <t>220n</t>
  </si>
  <si>
    <t>0201ZD224KAT2A</t>
  </si>
  <si>
    <t>3</t>
  </si>
  <si>
    <t>C401 C405 C601</t>
  </si>
  <si>
    <t>1u</t>
  </si>
  <si>
    <t>KGM03BR50J105KH</t>
  </si>
  <si>
    <t>4</t>
  </si>
  <si>
    <t>C403</t>
  </si>
  <si>
    <t>2u2</t>
  </si>
  <si>
    <t>https://datasheets.kyocera-avx.com/cx5r.pdf</t>
  </si>
  <si>
    <t>C_0402_1005Metric</t>
  </si>
  <si>
    <t>0402ZD225MAT2A</t>
  </si>
  <si>
    <t>5</t>
  </si>
  <si>
    <t>C404 C406 C408 C506 C512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</si>
  <si>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</si>
  <si>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</si>
  <si>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</si>
  <si>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</si>
  <si>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</si>
  <si>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</si>
  <si>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C_0603_1608Metric</t>
  </si>
  <si>
    <t>KGM15CR50J106MT</t>
  </si>
  <si>
    <t>7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</si>
  <si>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</si>
  <si>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</si>
  <si>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</si>
  <si>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</si>
  <si>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</si>
  <si>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</si>
  <si>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8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</si>
  <si>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</si>
  <si>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</si>
  <si>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</si>
  <si>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</si>
  <si>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</si>
  <si>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</si>
  <si>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9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</si>
  <si>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</si>
  <si>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</si>
  <si>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</si>
  <si>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</si>
  <si>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10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</si>
  <si>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</si>
  <si>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</si>
  <si>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</si>
  <si>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</si>
  <si>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</si>
  <si>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11</t>
  </si>
  <si>
    <t>IC601</t>
  </si>
  <si>
    <t>FAN5622SX</t>
  </si>
  <si>
    <t>https://www.onsemi.com/download/data-sheet/pdf/fan5626-d.pdf</t>
  </si>
  <si>
    <t>TSOT-23-6</t>
  </si>
  <si>
    <t>onsemi / Fairchild</t>
  </si>
  <si>
    <t>12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</si>
  <si>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</si>
  <si>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</si>
  <si>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</si>
  <si>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</si>
  <si>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</si>
  <si>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</si>
  <si>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</si>
  <si>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</si>
  <si>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</si>
  <si>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</si>
  <si>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14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</si>
  <si>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</si>
  <si>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</si>
  <si>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</si>
  <si>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</si>
  <si>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</si>
  <si>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</si>
  <si>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15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</si>
  <si>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</si>
  <si>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</si>
  <si>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</si>
  <si>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</si>
  <si>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</si>
  <si>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</si>
  <si>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16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</si>
  <si>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</si>
  <si>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</si>
  <si>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</si>
  <si>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</si>
  <si>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</si>
  <si>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17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</si>
  <si>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</si>
  <si>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</si>
  <si>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</si>
  <si>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</si>
  <si>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</si>
  <si>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18</t>
  </si>
  <si>
    <t>IC401</t>
  </si>
  <si>
    <t>nPM1300-QEXX</t>
  </si>
  <si>
    <t>https://infocenter.nordicsemi.com/index.jsp?topic=%2Fstruct_pmic%2Fstruct%2Fnpm1300.html</t>
  </si>
  <si>
    <t>QFN-32-1EP_5x5mm_P0.5mm_EP3.6x3.6mm</t>
  </si>
  <si>
    <t>Nordic Semiconductor</t>
  </si>
  <si>
    <t>nPM1300-QEAA-R7</t>
  </si>
  <si>
    <t>19</t>
  </si>
  <si>
    <t>J1</t>
  </si>
  <si>
    <t>53261-0271</t>
  </si>
  <si>
    <t>https://www.molex.com/pdm_docs/sd/532610271_sd.pdf</t>
  </si>
  <si>
    <t>molex_pico</t>
  </si>
  <si>
    <t>1.25mm Pitch, PicoBlade PCB Header, Single Row, Right-Angle, Surface Mount, Tin (Sn) Plating, Friction Lock,  Circuits, Tape and Reel</t>
  </si>
  <si>
    <t>Molex</t>
  </si>
  <si>
    <t>20</t>
  </si>
  <si>
    <t>L401 L402</t>
  </si>
  <si>
    <t>https://www.mouser.de/datasheet/3/76/1/JELF243B-9121.pdf</t>
  </si>
  <si>
    <t>L_0603_1608Metric</t>
  </si>
  <si>
    <t>Inductor</t>
  </si>
  <si>
    <t>LQM18PZ2R2MDHD</t>
  </si>
  <si>
    <t>21</t>
  </si>
  <si>
    <t>M601</t>
  </si>
  <si>
    <t>NORA-B106</t>
  </si>
  <si>
    <t>https://www.u-blox.com/docs/UBX-20027119</t>
  </si>
  <si>
    <t>u-blox</t>
  </si>
  <si>
    <t>NORA-B106-00B</t>
  </si>
  <si>
    <t>22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</si>
  <si>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</si>
  <si>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</si>
  <si>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</si>
  <si>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</si>
  <si>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</si>
  <si>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23</t>
  </si>
  <si>
    <t>R501 R502</t>
  </si>
  <si>
    <t>1k8</t>
  </si>
  <si>
    <t>https://www.mouser.com/catalog/specsheets/YAGEO_PYu_RC_Group_51_RoHS_L_12.pdf</t>
  </si>
  <si>
    <t>R_0201_0603Metric</t>
  </si>
  <si>
    <t>Resistor, small symbol</t>
  </si>
  <si>
    <t>YAGEO</t>
  </si>
  <si>
    <t>RC0201JR-071K8L</t>
  </si>
  <si>
    <t>24</t>
  </si>
  <si>
    <t>R504 R505</t>
  </si>
  <si>
    <t>3k3</t>
  </si>
  <si>
    <t>RC0201JR-073K3L</t>
  </si>
  <si>
    <t>25</t>
  </si>
  <si>
    <t>R601</t>
  </si>
  <si>
    <t>12k</t>
  </si>
  <si>
    <t>RC0201JR-0712KL</t>
  </si>
  <si>
    <t>26</t>
  </si>
  <si>
    <t>R407</t>
  </si>
  <si>
    <t>47k</t>
  </si>
  <si>
    <t>RC0201JR-0747KL</t>
  </si>
  <si>
    <t>27</t>
  </si>
  <si>
    <t>R408 R613</t>
  </si>
  <si>
    <t>100k</t>
  </si>
  <si>
    <t>RC0201JR-07100KL</t>
  </si>
  <si>
    <t>28</t>
  </si>
  <si>
    <t>R506</t>
  </si>
  <si>
    <t>200k</t>
  </si>
  <si>
    <t>RC0201JR-07200KL</t>
  </si>
  <si>
    <t>29</t>
  </si>
  <si>
    <t>S501</t>
  </si>
  <si>
    <t>SW1</t>
  </si>
  <si>
    <t>https://www.we-online.com/components/products/datasheet/436333033816.pdf</t>
  </si>
  <si>
    <t>43633303381_NoMountingPads</t>
  </si>
  <si>
    <t>Push button switch, generic, two pins</t>
  </si>
  <si>
    <t>Wurth Elektronik</t>
  </si>
  <si>
    <t>436333033816</t>
  </si>
  <si>
    <t>30</t>
  </si>
  <si>
    <t>S502</t>
  </si>
  <si>
    <t>SW2</t>
  </si>
  <si>
    <t>31</t>
  </si>
  <si>
    <t>S503</t>
  </si>
  <si>
    <t>SW3</t>
  </si>
  <si>
    <t>32</t>
  </si>
  <si>
    <t>S504</t>
  </si>
  <si>
    <t>SW4</t>
  </si>
  <si>
    <t>33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</si>
  <si>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</si>
  <si>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</si>
  <si>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</si>
  <si>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</si>
  <si>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</si>
  <si>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</si>
  <si>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</si>
  <si>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34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</si>
  <si>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</si>
  <si>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</si>
  <si>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</si>
  <si>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</si>
  <si>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</si>
  <si>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</si>
  <si>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35</t>
  </si>
  <si>
    <t>X701 X702</t>
  </si>
  <si>
    <t>MB1</t>
  </si>
  <si>
    <t>https://cdn.amphenol-cs.com/media/wysiwyg/files/drawing/101r014fb110.pdf</t>
  </si>
  <si>
    <t>101R014FB110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</si>
  <si>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</si>
  <si>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</si>
  <si>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36</t>
  </si>
  <si>
    <t>X509</t>
  </si>
  <si>
    <t>Motor</t>
  </si>
  <si>
    <t>https://www.molex.com/en-us/products/part-detail-pdf/781710002?display=pdf</t>
  </si>
  <si>
    <t>78171-0002</t>
  </si>
  <si>
    <t>Generic connector, single row, 01x02, script generated (kicad-library-utils/schlib/autogen/connector/)</t>
  </si>
  <si>
    <t>Bill of Materials</t>
  </si>
  <si>
    <t>Schematic:</t>
  </si>
  <si>
    <t>ZSWatch-Watch</t>
  </si>
  <si>
    <t>Variant:</t>
  </si>
  <si>
    <t>PRELIMINARY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</si>
  <si>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</si>
  <si>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</si>
  <si>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</si>
  <si>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</si>
  <si>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</si>
  <si>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</si>
  <si>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</si>
  <si>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61 (57 SMD/ 4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</si>
  <si>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</si>
  <si>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</si>
  <si>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</si>
  <si>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</si>
  <si>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</si>
  <si>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</si>
  <si>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</si>
  <si>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</si>
  <si>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</si>
  <si>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</si>
  <si>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</si>
  <si>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</si>
  <si>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</si>
  <si>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</si>
  <si>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</si>
  <si>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</si>
  <si>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</si>
  <si>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</si>
  <si>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</si>
  <si>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</si>
  <si>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</si>
  <si>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2026-10-29 20:31:02</t>
  </si>
  <si>
    <t>KiCost® v1.1.21 + KiBot v1.9.1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</si>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</sst>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cx5r-KGM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cs.broadcom.com/docs/AV02-4755EN" TargetMode="External"/><Relationship Id="rId8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bosch-sensortec.com/media/boschsensortec/downloads/datasheets/bst-bmp581-ds004.pdf" TargetMode="External"/><Relationship Id="rId10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1" Type="http://schemas.openxmlformats.org/officeDocument/2006/relationships/hyperlink" Target="https://www.onsemi.com/download/data-sheet/pdf/fan5626-d.pdf" TargetMode="External"/><Relationship Id="rId12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3" Type="http://schemas.openxmlformats.org/officeDocument/2006/relationships/hyperlink" Target="https://www.mouser.de/datasheet/2/819/MX25U51245G_2c_1_8V_2c_512Mb_2c_v1_4-3371129.pdf" TargetMode="External"/><Relationship Id="rId14" Type="http://schemas.openxmlformats.org/officeDocument/2006/relationships/hyperlink" Target="https://www.nxp.com/docs/en/data-sheet/NTS0104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s://www.microcrystal.com/fileadmin/Media/Products/RTC/Datasheet/RV-8263-C8.pdf" TargetMode="External"/><Relationship Id="rId17" Type="http://schemas.openxmlformats.org/officeDocument/2006/relationships/hyperlink" Target="https://www.st.com/resource/en/datasheet/usblc6-2.pdf" TargetMode="External"/><Relationship Id="rId18" Type="http://schemas.openxmlformats.org/officeDocument/2006/relationships/hyperlink" Target="https://infocenter.nordicsemi.com/index.jsp?topic=%2Fstruct_pmic%2Fstruct%2Fnpm1300.html" TargetMode="External"/><Relationship Id="rId19" Type="http://schemas.openxmlformats.org/officeDocument/2006/relationships/hyperlink" Target="https://www.molex.com/pdm_docs/sd/532610271_sd.pdf" TargetMode="External"/><Relationship Id="rId20" Type="http://schemas.openxmlformats.org/officeDocument/2006/relationships/hyperlink" Target="https://www.mouser.de/datasheet/3/76/1/JELF243B-9121.pdf" TargetMode="External"/><Relationship Id="rId21" Type="http://schemas.openxmlformats.org/officeDocument/2006/relationships/hyperlink" Target="https://www.u-blox.com/docs/UBX-20027119" TargetMode="External"/><Relationship Id="rId22" Type="http://schemas.openxmlformats.org/officeDocument/2006/relationships/hyperlink" Target="https://www.knowles.com/docs/default-source/default-document-library/sph0645lm4h-1-datasheet.pdf" TargetMode="External"/><Relationship Id="rId23" Type="http://schemas.openxmlformats.org/officeDocument/2006/relationships/hyperlink" Target="https://www.mouser.com/catalog/specsheets/YAGEO_PYu_RC_Group_51_RoHS_L_12.pdf" TargetMode="External"/><Relationship Id="rId24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www.mouser.com/catalog/specsheets/YAGEO_PYu_RC_Group_51_RoHS_L_12.pdf" TargetMode="External"/><Relationship Id="rId26" Type="http://schemas.openxmlformats.org/officeDocument/2006/relationships/hyperlink" Target="https://www.mouser.com/catalog/specsheets/YAGEO_PYu_RC_Group_51_RoHS_L_12.pdf" TargetMode="External"/><Relationship Id="rId27" Type="http://schemas.openxmlformats.org/officeDocument/2006/relationships/hyperlink" Target="https://www.mouser.com/catalog/specsheets/YAGEO_PYu_RC_Group_51_RoHS_L_12.pdf" TargetMode="External"/><Relationship Id="rId28" Type="http://schemas.openxmlformats.org/officeDocument/2006/relationships/hyperlink" Target="https://www.mouser.com/catalog/specsheets/YAGEO_PYu_RC_Group_51_RoHS_L_12.pdf" TargetMode="External"/><Relationship Id="rId29" Type="http://schemas.openxmlformats.org/officeDocument/2006/relationships/hyperlink" Target="https://www.we-online.com/components/products/datasheet/436333033816.pdf" TargetMode="External"/><Relationship Id="rId30" Type="http://schemas.openxmlformats.org/officeDocument/2006/relationships/hyperlink" Target="https://www.we-online.com/components/products/datasheet/436333033816.pdf" TargetMode="External"/><Relationship Id="rId31" Type="http://schemas.openxmlformats.org/officeDocument/2006/relationships/hyperlink" Target="https://www.we-online.com/components/products/datasheet/436333033816.pdf" TargetMode="External"/><Relationship Id="rId32" Type="http://schemas.openxmlformats.org/officeDocument/2006/relationships/hyperlink" Target="https://www.we-online.com/components/products/datasheet/436333033816.pdf" TargetMode="External"/><Relationship Id="rId33" Type="http://schemas.openxmlformats.org/officeDocument/2006/relationships/hyperlink" Target="https://www.usb.org/sites/default/files/documents/usb_type-c.zip" TargetMode="External"/><Relationship Id="rId34" Type="http://schemas.openxmlformats.org/officeDocument/2006/relationships/hyperlink" Target="https://www.buydisplay.com/download/manual/ER-TFT1.28-2_Datasheet.pdf" TargetMode="External"/><Relationship Id="rId35" Type="http://schemas.openxmlformats.org/officeDocument/2006/relationships/hyperlink" Target="https://cdn.amphenol-cs.com/media/wysiwyg/files/drawing/101r014fb110.pdf" TargetMode="External"/><Relationship Id="rId36" Type="http://schemas.openxmlformats.org/officeDocument/2006/relationships/hyperlink" Target="https://www.molex.com/en-us/products/part-detail-pdf/781710002?display=pdf" TargetMode="External"/><Relationship Id="rId37" Type="http://schemas.openxmlformats.org/officeDocument/2006/relationships/hyperlink" Target="https://mouser.com/bom/" TargetMode="Externa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2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216</v>
      </c>
      <c r="B2" s="3" t="s">
        <v>217</v>
      </c>
      <c r="C2" s="2" t="s">
        <v>225</v>
      </c>
      <c r="D2" s="3">
        <v>36</v>
      </c>
    </row>
    <row r="3" spans="1:9">
      <c r="A3" s="2" t="s">
        <v>218</v>
      </c>
      <c r="B3" s="3" t="s">
        <v>219</v>
      </c>
      <c r="C3" s="2" t="s">
        <v>226</v>
      </c>
      <c r="D3" s="3" t="s">
        <v>227</v>
      </c>
    </row>
    <row r="4" spans="1:9">
      <c r="A4" s="2" t="s">
        <v>220</v>
      </c>
      <c r="B4" s="3" t="s">
        <v>54</v>
      </c>
      <c r="C4" s="2" t="s">
        <v>228</v>
      </c>
      <c r="D4" s="3" t="s">
        <v>227</v>
      </c>
    </row>
    <row r="5" spans="1:9">
      <c r="A5" s="2" t="s">
        <v>221</v>
      </c>
      <c r="B5" s="3" t="s">
        <v>222</v>
      </c>
      <c r="C5" s="2" t="s">
        <v>229</v>
      </c>
      <c r="D5" s="3">
        <v>1</v>
      </c>
    </row>
    <row r="6" spans="1:9">
      <c r="A6" s="2" t="s">
        <v>223</v>
      </c>
      <c r="B6" s="3" t="s">
        <v>224</v>
      </c>
      <c r="C6" s="2" t="s">
        <v>230</v>
      </c>
      <c r="D6" s="3">
        <v>61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25</v>
      </c>
    </row>
    <row r="12" spans="1:9">
      <c r="A12" s="8" t="s">
        <v>26</v>
      </c>
      <c r="B12" s="8" t="s">
        <v>9</v>
      </c>
      <c r="C12" s="9" t="s">
        <v>27</v>
      </c>
      <c r="D12" s="9" t="s">
        <v>28</v>
      </c>
      <c r="E12" s="9" t="s">
        <v>29</v>
      </c>
      <c r="F12" s="9" t="s">
        <v>30</v>
      </c>
      <c r="G12" s="10" t="s">
        <v>15</v>
      </c>
      <c r="H12" s="10" t="s">
        <v>16</v>
      </c>
      <c r="I12" s="10" t="s">
        <v>31</v>
      </c>
    </row>
    <row r="13" spans="1:9" ht="30" customHeight="1">
      <c r="A13" s="5" t="s">
        <v>32</v>
      </c>
      <c r="B13" s="5" t="s">
        <v>32</v>
      </c>
      <c r="C13" s="6" t="s">
        <v>33</v>
      </c>
      <c r="D13" s="6" t="s">
        <v>34</v>
      </c>
      <c r="E13" s="6" t="s">
        <v>35</v>
      </c>
      <c r="F13" s="6" t="s">
        <v>30</v>
      </c>
      <c r="G13" s="7" t="s">
        <v>15</v>
      </c>
      <c r="H13" s="7" t="s">
        <v>36</v>
      </c>
      <c r="I13" s="7" t="s">
        <v>37</v>
      </c>
    </row>
    <row r="14" spans="1:9">
      <c r="A14" s="8" t="s">
        <v>38</v>
      </c>
      <c r="B14" s="8" t="s">
        <v>22</v>
      </c>
      <c r="C14" s="9" t="s">
        <v>39</v>
      </c>
      <c r="D14" s="9" t="s">
        <v>34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 ht="45" customHeight="1">
      <c r="A16" s="8" t="s">
        <v>49</v>
      </c>
      <c r="B16" s="8" t="s">
        <v>9</v>
      </c>
      <c r="C16" s="9" t="s">
        <v>50</v>
      </c>
      <c r="D16" s="9" t="s">
        <v>51</v>
      </c>
      <c r="E16" s="9" t="s">
        <v>52</v>
      </c>
      <c r="F16" s="9" t="s">
        <v>53</v>
      </c>
      <c r="G16" s="11" t="s">
        <v>54</v>
      </c>
      <c r="H16" s="10" t="s">
        <v>55</v>
      </c>
      <c r="I16" s="10" t="s">
        <v>51</v>
      </c>
    </row>
    <row r="17" spans="1:9" ht="45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2" t="s">
        <v>54</v>
      </c>
      <c r="H17" s="7" t="s">
        <v>55</v>
      </c>
      <c r="I17" s="7" t="s">
        <v>58</v>
      </c>
    </row>
    <row r="18" spans="1:9" ht="45" customHeight="1">
      <c r="A18" s="8" t="s">
        <v>61</v>
      </c>
      <c r="B18" s="8" t="s">
        <v>9</v>
      </c>
      <c r="C18" s="9" t="s">
        <v>62</v>
      </c>
      <c r="D18" s="9" t="s">
        <v>63</v>
      </c>
      <c r="E18" s="9" t="s">
        <v>64</v>
      </c>
      <c r="F18" s="9" t="s">
        <v>65</v>
      </c>
      <c r="G18" s="11" t="s">
        <v>54</v>
      </c>
      <c r="H18" s="10" t="s">
        <v>66</v>
      </c>
      <c r="I18" s="10" t="s">
        <v>63</v>
      </c>
    </row>
    <row r="19" spans="1:9">
      <c r="A19" s="5" t="s">
        <v>67</v>
      </c>
      <c r="B19" s="5" t="s">
        <v>9</v>
      </c>
      <c r="C19" s="6" t="s">
        <v>68</v>
      </c>
      <c r="D19" s="6" t="s">
        <v>69</v>
      </c>
      <c r="E19" s="6" t="s">
        <v>70</v>
      </c>
      <c r="F19" s="6" t="s">
        <v>71</v>
      </c>
      <c r="G19" s="12" t="s">
        <v>54</v>
      </c>
      <c r="H19" s="7" t="s">
        <v>72</v>
      </c>
      <c r="I19" s="7" t="s">
        <v>69</v>
      </c>
    </row>
    <row r="20" spans="1:9" ht="45" customHeight="1">
      <c r="A20" s="8" t="s">
        <v>73</v>
      </c>
      <c r="B20" s="8" t="s">
        <v>9</v>
      </c>
      <c r="C20" s="9" t="s">
        <v>74</v>
      </c>
      <c r="D20" s="9" t="s">
        <v>75</v>
      </c>
      <c r="E20" s="9" t="s">
        <v>76</v>
      </c>
      <c r="F20" s="9" t="s">
        <v>77</v>
      </c>
      <c r="G20" s="11" t="s">
        <v>54</v>
      </c>
      <c r="H20" s="10" t="s">
        <v>78</v>
      </c>
      <c r="I20" s="10" t="s">
        <v>75</v>
      </c>
    </row>
    <row r="21" spans="1:9" ht="30" customHeight="1">
      <c r="A21" s="5" t="s">
        <v>10</v>
      </c>
      <c r="B21" s="5" t="s">
        <v>9</v>
      </c>
      <c r="C21" s="6" t="s">
        <v>79</v>
      </c>
      <c r="D21" s="6" t="s">
        <v>80</v>
      </c>
      <c r="E21" s="6" t="s">
        <v>81</v>
      </c>
      <c r="F21" s="6" t="s">
        <v>82</v>
      </c>
      <c r="G21" s="12" t="s">
        <v>54</v>
      </c>
      <c r="H21" s="7" t="s">
        <v>83</v>
      </c>
      <c r="I21" s="7" t="s">
        <v>80</v>
      </c>
    </row>
    <row r="22" spans="1:9">
      <c r="A22" s="8" t="s">
        <v>84</v>
      </c>
      <c r="B22" s="8" t="s">
        <v>9</v>
      </c>
      <c r="C22" s="9" t="s">
        <v>85</v>
      </c>
      <c r="D22" s="9" t="s">
        <v>86</v>
      </c>
      <c r="E22" s="9" t="s">
        <v>87</v>
      </c>
      <c r="F22" s="9" t="s">
        <v>88</v>
      </c>
      <c r="G22" s="11" t="s">
        <v>54</v>
      </c>
      <c r="H22" s="10" t="s">
        <v>89</v>
      </c>
      <c r="I22" s="10" t="s">
        <v>90</v>
      </c>
    </row>
    <row r="23" spans="1:9" ht="30" customHeight="1">
      <c r="A23" s="5" t="s">
        <v>91</v>
      </c>
      <c r="B23" s="5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 t="s">
        <v>96</v>
      </c>
      <c r="H23" s="7" t="s">
        <v>89</v>
      </c>
      <c r="I23" s="7" t="s">
        <v>97</v>
      </c>
    </row>
    <row r="24" spans="1:9" ht="30" customHeight="1">
      <c r="A24" s="8" t="s">
        <v>98</v>
      </c>
      <c r="B24" s="8" t="s">
        <v>9</v>
      </c>
      <c r="C24" s="9" t="s">
        <v>99</v>
      </c>
      <c r="D24" s="9" t="s">
        <v>100</v>
      </c>
      <c r="E24" s="9" t="s">
        <v>101</v>
      </c>
      <c r="F24" s="9" t="s">
        <v>100</v>
      </c>
      <c r="G24" s="11" t="s">
        <v>54</v>
      </c>
      <c r="H24" s="10" t="s">
        <v>102</v>
      </c>
      <c r="I24" s="10" t="s">
        <v>103</v>
      </c>
    </row>
    <row r="25" spans="1:9" ht="30" customHeight="1">
      <c r="A25" s="5" t="s">
        <v>104</v>
      </c>
      <c r="B25" s="5" t="s">
        <v>9</v>
      </c>
      <c r="C25" s="6" t="s">
        <v>105</v>
      </c>
      <c r="D25" s="6" t="s">
        <v>106</v>
      </c>
      <c r="E25" s="6" t="s">
        <v>107</v>
      </c>
      <c r="F25" s="6" t="s">
        <v>108</v>
      </c>
      <c r="G25" s="7" t="s">
        <v>109</v>
      </c>
      <c r="H25" s="7" t="s">
        <v>78</v>
      </c>
      <c r="I25" s="7" t="s">
        <v>106</v>
      </c>
    </row>
    <row r="26" spans="1:9" ht="30" customHeight="1">
      <c r="A26" s="8" t="s">
        <v>110</v>
      </c>
      <c r="B26" s="8" t="s">
        <v>9</v>
      </c>
      <c r="C26" s="9" t="s">
        <v>111</v>
      </c>
      <c r="D26" s="9" t="s">
        <v>112</v>
      </c>
      <c r="E26" s="9" t="s">
        <v>113</v>
      </c>
      <c r="F26" s="9" t="s">
        <v>114</v>
      </c>
      <c r="G26" s="11" t="s">
        <v>54</v>
      </c>
      <c r="H26" s="10" t="s">
        <v>115</v>
      </c>
      <c r="I26" s="10" t="s">
        <v>116</v>
      </c>
    </row>
    <row r="27" spans="1:9" ht="45" customHeight="1">
      <c r="A27" s="5" t="s">
        <v>117</v>
      </c>
      <c r="B27" s="5" t="s">
        <v>9</v>
      </c>
      <c r="C27" s="6" t="s">
        <v>118</v>
      </c>
      <c r="D27" s="6" t="s">
        <v>119</v>
      </c>
      <c r="E27" s="6" t="s">
        <v>120</v>
      </c>
      <c r="F27" s="6" t="s">
        <v>121</v>
      </c>
      <c r="G27" s="7" t="s">
        <v>122</v>
      </c>
      <c r="H27" s="7" t="s">
        <v>123</v>
      </c>
      <c r="I27" s="7" t="s">
        <v>119</v>
      </c>
    </row>
    <row r="28" spans="1:9">
      <c r="A28" s="8" t="s">
        <v>124</v>
      </c>
      <c r="B28" s="8" t="s">
        <v>18</v>
      </c>
      <c r="C28" s="9" t="s">
        <v>125</v>
      </c>
      <c r="D28" s="9" t="s">
        <v>28</v>
      </c>
      <c r="E28" s="9" t="s">
        <v>126</v>
      </c>
      <c r="F28" s="9" t="s">
        <v>127</v>
      </c>
      <c r="G28" s="10" t="s">
        <v>128</v>
      </c>
      <c r="H28" s="10" t="s">
        <v>36</v>
      </c>
      <c r="I28" s="10" t="s">
        <v>129</v>
      </c>
    </row>
    <row r="29" spans="1:9">
      <c r="A29" s="5" t="s">
        <v>130</v>
      </c>
      <c r="B29" s="5" t="s">
        <v>9</v>
      </c>
      <c r="C29" s="6" t="s">
        <v>131</v>
      </c>
      <c r="D29" s="6" t="s">
        <v>132</v>
      </c>
      <c r="E29" s="6" t="s">
        <v>133</v>
      </c>
      <c r="F29" s="6" t="s">
        <v>132</v>
      </c>
      <c r="G29" s="12" t="s">
        <v>54</v>
      </c>
      <c r="H29" s="7" t="s">
        <v>134</v>
      </c>
      <c r="I29" s="7" t="s">
        <v>135</v>
      </c>
    </row>
    <row r="30" spans="1:9" ht="30" customHeight="1">
      <c r="A30" s="8" t="s">
        <v>136</v>
      </c>
      <c r="B30" s="8" t="s">
        <v>9</v>
      </c>
      <c r="C30" s="9" t="s">
        <v>137</v>
      </c>
      <c r="D30" s="9" t="s">
        <v>138</v>
      </c>
      <c r="E30" s="9" t="s">
        <v>139</v>
      </c>
      <c r="F30" s="9" t="s">
        <v>138</v>
      </c>
      <c r="G30" s="10" t="s">
        <v>140</v>
      </c>
      <c r="H30" s="10" t="s">
        <v>141</v>
      </c>
      <c r="I30" s="10" t="s">
        <v>138</v>
      </c>
    </row>
    <row r="31" spans="1:9" ht="30" customHeight="1">
      <c r="A31" s="5" t="s">
        <v>142</v>
      </c>
      <c r="B31" s="5" t="s">
        <v>18</v>
      </c>
      <c r="C31" s="6" t="s">
        <v>143</v>
      </c>
      <c r="D31" s="6" t="s">
        <v>144</v>
      </c>
      <c r="E31" s="6" t="s">
        <v>145</v>
      </c>
      <c r="F31" s="6" t="s">
        <v>146</v>
      </c>
      <c r="G31" s="7" t="s">
        <v>147</v>
      </c>
      <c r="H31" s="7" t="s">
        <v>148</v>
      </c>
      <c r="I31" s="7" t="s">
        <v>149</v>
      </c>
    </row>
    <row r="32" spans="1:9" ht="30" customHeight="1">
      <c r="A32" s="8" t="s">
        <v>150</v>
      </c>
      <c r="B32" s="8" t="s">
        <v>18</v>
      </c>
      <c r="C32" s="9" t="s">
        <v>151</v>
      </c>
      <c r="D32" s="9" t="s">
        <v>152</v>
      </c>
      <c r="E32" s="9" t="s">
        <v>145</v>
      </c>
      <c r="F32" s="9" t="s">
        <v>146</v>
      </c>
      <c r="G32" s="10" t="s">
        <v>147</v>
      </c>
      <c r="H32" s="10" t="s">
        <v>148</v>
      </c>
      <c r="I32" s="10" t="s">
        <v>153</v>
      </c>
    </row>
    <row r="33" spans="1:9" ht="30" customHeight="1">
      <c r="A33" s="5" t="s">
        <v>154</v>
      </c>
      <c r="B33" s="5" t="s">
        <v>9</v>
      </c>
      <c r="C33" s="6" t="s">
        <v>155</v>
      </c>
      <c r="D33" s="6" t="s">
        <v>156</v>
      </c>
      <c r="E33" s="6" t="s">
        <v>145</v>
      </c>
      <c r="F33" s="6" t="s">
        <v>146</v>
      </c>
      <c r="G33" s="7" t="s">
        <v>147</v>
      </c>
      <c r="H33" s="7" t="s">
        <v>148</v>
      </c>
      <c r="I33" s="7" t="s">
        <v>157</v>
      </c>
    </row>
    <row r="34" spans="1:9" ht="30" customHeight="1">
      <c r="A34" s="8" t="s">
        <v>158</v>
      </c>
      <c r="B34" s="8" t="s">
        <v>9</v>
      </c>
      <c r="C34" s="9" t="s">
        <v>159</v>
      </c>
      <c r="D34" s="9" t="s">
        <v>160</v>
      </c>
      <c r="E34" s="9" t="s">
        <v>145</v>
      </c>
      <c r="F34" s="9" t="s">
        <v>146</v>
      </c>
      <c r="G34" s="10" t="s">
        <v>147</v>
      </c>
      <c r="H34" s="10" t="s">
        <v>148</v>
      </c>
      <c r="I34" s="10" t="s">
        <v>161</v>
      </c>
    </row>
    <row r="35" spans="1:9" ht="30" customHeight="1">
      <c r="A35" s="5" t="s">
        <v>162</v>
      </c>
      <c r="B35" s="5" t="s">
        <v>18</v>
      </c>
      <c r="C35" s="6" t="s">
        <v>163</v>
      </c>
      <c r="D35" s="6" t="s">
        <v>164</v>
      </c>
      <c r="E35" s="6" t="s">
        <v>145</v>
      </c>
      <c r="F35" s="6" t="s">
        <v>146</v>
      </c>
      <c r="G35" s="7" t="s">
        <v>147</v>
      </c>
      <c r="H35" s="7" t="s">
        <v>148</v>
      </c>
      <c r="I35" s="7" t="s">
        <v>165</v>
      </c>
    </row>
    <row r="36" spans="1:9" ht="30" customHeight="1">
      <c r="A36" s="8" t="s">
        <v>166</v>
      </c>
      <c r="B36" s="8" t="s">
        <v>9</v>
      </c>
      <c r="C36" s="9" t="s">
        <v>167</v>
      </c>
      <c r="D36" s="9" t="s">
        <v>168</v>
      </c>
      <c r="E36" s="9" t="s">
        <v>145</v>
      </c>
      <c r="F36" s="9" t="s">
        <v>146</v>
      </c>
      <c r="G36" s="10" t="s">
        <v>147</v>
      </c>
      <c r="H36" s="10" t="s">
        <v>148</v>
      </c>
      <c r="I36" s="10" t="s">
        <v>169</v>
      </c>
    </row>
    <row r="37" spans="1:9" ht="30" customHeight="1">
      <c r="A37" s="5" t="s">
        <v>170</v>
      </c>
      <c r="B37" s="5" t="s">
        <v>9</v>
      </c>
      <c r="C37" s="6" t="s">
        <v>171</v>
      </c>
      <c r="D37" s="6" t="s">
        <v>172</v>
      </c>
      <c r="E37" s="6" t="s">
        <v>173</v>
      </c>
      <c r="F37" s="6" t="s">
        <v>174</v>
      </c>
      <c r="G37" s="7" t="s">
        <v>175</v>
      </c>
      <c r="H37" s="7" t="s">
        <v>176</v>
      </c>
      <c r="I37" s="7" t="s">
        <v>177</v>
      </c>
    </row>
    <row r="38" spans="1:9" ht="30" customHeight="1">
      <c r="A38" s="8" t="s">
        <v>178</v>
      </c>
      <c r="B38" s="8" t="s">
        <v>9</v>
      </c>
      <c r="C38" s="9" t="s">
        <v>179</v>
      </c>
      <c r="D38" s="9" t="s">
        <v>180</v>
      </c>
      <c r="E38" s="9" t="s">
        <v>173</v>
      </c>
      <c r="F38" s="9" t="s">
        <v>174</v>
      </c>
      <c r="G38" s="10" t="s">
        <v>175</v>
      </c>
      <c r="H38" s="10" t="s">
        <v>176</v>
      </c>
      <c r="I38" s="10" t="s">
        <v>177</v>
      </c>
    </row>
    <row r="39" spans="1:9" ht="30" customHeight="1">
      <c r="A39" s="5" t="s">
        <v>181</v>
      </c>
      <c r="B39" s="5" t="s">
        <v>9</v>
      </c>
      <c r="C39" s="6" t="s">
        <v>182</v>
      </c>
      <c r="D39" s="6" t="s">
        <v>183</v>
      </c>
      <c r="E39" s="6" t="s">
        <v>173</v>
      </c>
      <c r="F39" s="6" t="s">
        <v>174</v>
      </c>
      <c r="G39" s="7" t="s">
        <v>175</v>
      </c>
      <c r="H39" s="7" t="s">
        <v>176</v>
      </c>
      <c r="I39" s="7" t="s">
        <v>177</v>
      </c>
    </row>
    <row r="40" spans="1:9" ht="30" customHeight="1">
      <c r="A40" s="8" t="s">
        <v>184</v>
      </c>
      <c r="B40" s="8" t="s">
        <v>9</v>
      </c>
      <c r="C40" s="9" t="s">
        <v>185</v>
      </c>
      <c r="D40" s="9" t="s">
        <v>186</v>
      </c>
      <c r="E40" s="9" t="s">
        <v>173</v>
      </c>
      <c r="F40" s="9" t="s">
        <v>174</v>
      </c>
      <c r="G40" s="10" t="s">
        <v>175</v>
      </c>
      <c r="H40" s="10" t="s">
        <v>176</v>
      </c>
      <c r="I40" s="10" t="s">
        <v>177</v>
      </c>
    </row>
    <row r="41" spans="1:9" ht="30" customHeight="1">
      <c r="A41" s="5" t="s">
        <v>187</v>
      </c>
      <c r="B41" s="5" t="s">
        <v>9</v>
      </c>
      <c r="C41" s="6" t="s">
        <v>188</v>
      </c>
      <c r="D41" s="6" t="s">
        <v>189</v>
      </c>
      <c r="E41" s="6" t="s">
        <v>190</v>
      </c>
      <c r="F41" s="6" t="s">
        <v>191</v>
      </c>
      <c r="G41" s="7" t="s">
        <v>192</v>
      </c>
      <c r="H41" s="7" t="s">
        <v>193</v>
      </c>
      <c r="I41" s="7" t="s">
        <v>194</v>
      </c>
    </row>
    <row r="42" spans="1:9" ht="30" customHeight="1">
      <c r="A42" s="8" t="s">
        <v>195</v>
      </c>
      <c r="B42" s="8" t="s">
        <v>9</v>
      </c>
      <c r="C42" s="9" t="s">
        <v>196</v>
      </c>
      <c r="D42" s="9" t="s">
        <v>197</v>
      </c>
      <c r="E42" s="9" t="s">
        <v>198</v>
      </c>
      <c r="F42" s="9" t="s">
        <v>199</v>
      </c>
      <c r="G42" s="11" t="s">
        <v>54</v>
      </c>
      <c r="H42" s="10" t="s">
        <v>200</v>
      </c>
      <c r="I42" s="10" t="s">
        <v>201</v>
      </c>
    </row>
    <row r="43" spans="1:9" ht="60" customHeight="1">
      <c r="A43" s="5" t="s">
        <v>202</v>
      </c>
      <c r="B43" s="5" t="s">
        <v>18</v>
      </c>
      <c r="C43" s="6" t="s">
        <v>203</v>
      </c>
      <c r="D43" s="6" t="s">
        <v>204</v>
      </c>
      <c r="E43" s="6" t="s">
        <v>205</v>
      </c>
      <c r="F43" s="6" t="s">
        <v>206</v>
      </c>
      <c r="G43" s="7" t="s">
        <v>207</v>
      </c>
      <c r="H43" s="7" t="s">
        <v>208</v>
      </c>
      <c r="I43" s="7" t="s">
        <v>206</v>
      </c>
    </row>
    <row r="44" spans="1:9" ht="30" customHeight="1">
      <c r="A44" s="8" t="s">
        <v>209</v>
      </c>
      <c r="B44" s="8" t="s">
        <v>9</v>
      </c>
      <c r="C44" s="9" t="s">
        <v>210</v>
      </c>
      <c r="D44" s="9" t="s">
        <v>211</v>
      </c>
      <c r="E44" s="9" t="s">
        <v>212</v>
      </c>
      <c r="F44" s="9" t="s">
        <v>213</v>
      </c>
      <c r="G44" s="10" t="s">
        <v>214</v>
      </c>
      <c r="H44" s="10" t="s">
        <v>123</v>
      </c>
      <c r="I44" s="10" t="s">
        <v>213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0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215</v>
      </c>
      <c r="B1" s="1"/>
      <c r="C1" s="1"/>
      <c r="D1" s="1"/>
      <c r="E1" s="1"/>
      <c r="F1" s="1"/>
      <c r="G1" s="1"/>
      <c r="H1" s="1"/>
    </row>
    <row r="2" spans="1:14">
      <c r="A2" s="2" t="s">
        <v>216</v>
      </c>
      <c r="B2" s="3" t="s">
        <v>217</v>
      </c>
      <c r="G2" s="13" t="s">
        <v>245</v>
      </c>
      <c r="H2" s="13">
        <v>1</v>
      </c>
    </row>
    <row r="3" spans="1:14">
      <c r="A3" s="2" t="s">
        <v>218</v>
      </c>
      <c r="B3" s="3" t="s">
        <v>219</v>
      </c>
      <c r="G3" s="14" t="s">
        <v>247</v>
      </c>
      <c r="H3" s="15">
        <f>TotalCost/BoardQty</f>
        <v>0.0</v>
      </c>
    </row>
    <row r="4" spans="1:14">
      <c r="A4" s="2" t="s">
        <v>220</v>
      </c>
      <c r="B4" s="3" t="s">
        <v>54</v>
      </c>
      <c r="G4" s="14" t="s">
        <v>246</v>
      </c>
      <c r="H4" s="16">
        <f>SUM(H10:H45)</f>
        <v>0</v>
      </c>
      <c r="M4" s="16">
        <f>SUM(M10:M45)</f>
        <v>0</v>
      </c>
      <c r="N4" s="17" t="str">
        <f>(COUNTA(M10:M45)&amp;" of "&amp;ROWS(M10:M45)&amp;" parts found")</f>
        <v>0 of 36 parts found</v>
      </c>
    </row>
    <row r="5" spans="1:14">
      <c r="A5" s="2" t="s">
        <v>221</v>
      </c>
      <c r="B5" s="3" t="s">
        <v>222</v>
      </c>
    </row>
    <row r="6" spans="1:14">
      <c r="A6" s="2" t="s">
        <v>223</v>
      </c>
      <c r="B6" s="3" t="s">
        <v>224</v>
      </c>
    </row>
    <row r="8" spans="1:14">
      <c r="A8" s="18" t="s">
        <v>231</v>
      </c>
      <c r="B8" s="18"/>
      <c r="C8" s="18"/>
      <c r="D8" s="18"/>
      <c r="E8" s="18"/>
      <c r="F8" s="18"/>
      <c r="G8" s="18"/>
      <c r="H8" s="18"/>
      <c r="I8" s="19" t="s">
        <v>237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232</v>
      </c>
      <c r="E9" s="20" t="s">
        <v>233</v>
      </c>
      <c r="F9" s="20" t="s">
        <v>234</v>
      </c>
      <c r="G9" s="20" t="s">
        <v>235</v>
      </c>
      <c r="H9" s="20" t="s">
        <v>236</v>
      </c>
      <c r="I9" s="20" t="s">
        <v>238</v>
      </c>
      <c r="J9" s="20" t="s">
        <v>239</v>
      </c>
      <c r="K9" s="20" t="s">
        <v>235</v>
      </c>
      <c r="L9" s="20" t="s">
        <v>240</v>
      </c>
      <c r="M9" s="20" t="s">
        <v>236</v>
      </c>
      <c r="N9" s="20" t="s">
        <v>241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25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27</v>
      </c>
      <c r="B13" s="21" t="s">
        <v>28</v>
      </c>
      <c r="C13" s="21" t="s">
        <v>30</v>
      </c>
      <c r="D13" s="21" t="s">
        <v>16</v>
      </c>
      <c r="E13" s="21" t="s">
        <v>31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33</v>
      </c>
      <c r="B14" s="21" t="s">
        <v>34</v>
      </c>
      <c r="C14" s="21" t="s">
        <v>30</v>
      </c>
      <c r="D14" s="21" t="s">
        <v>36</v>
      </c>
      <c r="E14" s="21" t="s">
        <v>37</v>
      </c>
      <c r="F14" s="21">
        <f>CEILING(BoardQty*5,1)</f>
        <v>5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39</v>
      </c>
      <c r="B15" s="21" t="s">
        <v>34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50</v>
      </c>
      <c r="B17" s="21" t="s">
        <v>51</v>
      </c>
      <c r="C17" s="21" t="s">
        <v>53</v>
      </c>
      <c r="D17" s="21" t="s">
        <v>55</v>
      </c>
      <c r="E17" s="21" t="s">
        <v>51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57</v>
      </c>
      <c r="B18" s="21" t="s">
        <v>58</v>
      </c>
      <c r="C18" s="21" t="s">
        <v>60</v>
      </c>
      <c r="D18" s="21" t="s">
        <v>55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62</v>
      </c>
      <c r="B19" s="21" t="s">
        <v>63</v>
      </c>
      <c r="C19" s="21" t="s">
        <v>65</v>
      </c>
      <c r="D19" s="21" t="s">
        <v>66</v>
      </c>
      <c r="E19" s="21" t="s">
        <v>63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68</v>
      </c>
      <c r="B20" s="21" t="s">
        <v>69</v>
      </c>
      <c r="C20" s="21" t="s">
        <v>71</v>
      </c>
      <c r="D20" s="21" t="s">
        <v>72</v>
      </c>
      <c r="E20" s="21" t="s">
        <v>69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74</v>
      </c>
      <c r="B21" s="21" t="s">
        <v>75</v>
      </c>
      <c r="C21" s="21" t="s">
        <v>77</v>
      </c>
      <c r="D21" s="21" t="s">
        <v>78</v>
      </c>
      <c r="E21" s="21" t="s">
        <v>75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79</v>
      </c>
      <c r="B22" s="21" t="s">
        <v>80</v>
      </c>
      <c r="C22" s="21" t="s">
        <v>82</v>
      </c>
      <c r="D22" s="21" t="s">
        <v>83</v>
      </c>
      <c r="E22" s="21" t="s">
        <v>80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85</v>
      </c>
      <c r="B23" s="21" t="s">
        <v>86</v>
      </c>
      <c r="C23" s="21" t="s">
        <v>88</v>
      </c>
      <c r="D23" s="21" t="s">
        <v>89</v>
      </c>
      <c r="E23" s="21" t="s">
        <v>90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92</v>
      </c>
      <c r="B24" s="21" t="s">
        <v>93</v>
      </c>
      <c r="C24" s="21" t="s">
        <v>95</v>
      </c>
      <c r="D24" s="21" t="s">
        <v>89</v>
      </c>
      <c r="E24" s="21" t="s">
        <v>97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99</v>
      </c>
      <c r="B25" s="21" t="s">
        <v>100</v>
      </c>
      <c r="C25" s="21" t="s">
        <v>100</v>
      </c>
      <c r="D25" s="21" t="s">
        <v>102</v>
      </c>
      <c r="E25" s="21" t="s">
        <v>103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105</v>
      </c>
      <c r="B26" s="21" t="s">
        <v>106</v>
      </c>
      <c r="C26" s="21" t="s">
        <v>108</v>
      </c>
      <c r="D26" s="21" t="s">
        <v>78</v>
      </c>
      <c r="E26" s="21" t="s">
        <v>106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111</v>
      </c>
      <c r="B27" s="21" t="s">
        <v>112</v>
      </c>
      <c r="C27" s="21" t="s">
        <v>114</v>
      </c>
      <c r="D27" s="21" t="s">
        <v>115</v>
      </c>
      <c r="E27" s="21" t="s">
        <v>116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118</v>
      </c>
      <c r="B28" s="21" t="s">
        <v>119</v>
      </c>
      <c r="C28" s="21" t="s">
        <v>121</v>
      </c>
      <c r="D28" s="21" t="s">
        <v>123</v>
      </c>
      <c r="E28" s="21" t="s">
        <v>119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125</v>
      </c>
      <c r="B29" s="21" t="s">
        <v>28</v>
      </c>
      <c r="C29" s="21" t="s">
        <v>127</v>
      </c>
      <c r="D29" s="21" t="s">
        <v>36</v>
      </c>
      <c r="E29" s="21" t="s">
        <v>129</v>
      </c>
      <c r="F29" s="21">
        <f>CEILING(BoardQty*2,1)</f>
        <v>2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131</v>
      </c>
      <c r="B30" s="21" t="s">
        <v>132</v>
      </c>
      <c r="C30" s="21" t="s">
        <v>132</v>
      </c>
      <c r="D30" s="21" t="s">
        <v>134</v>
      </c>
      <c r="E30" s="21" t="s">
        <v>135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137</v>
      </c>
      <c r="B31" s="21" t="s">
        <v>138</v>
      </c>
      <c r="C31" s="21" t="s">
        <v>138</v>
      </c>
      <c r="D31" s="21" t="s">
        <v>141</v>
      </c>
      <c r="E31" s="21" t="s">
        <v>138</v>
      </c>
      <c r="F31" s="21">
        <f>BoardQty*1</f>
        <v>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143</v>
      </c>
      <c r="B32" s="21" t="s">
        <v>144</v>
      </c>
      <c r="C32" s="21" t="s">
        <v>146</v>
      </c>
      <c r="D32" s="21" t="s">
        <v>148</v>
      </c>
      <c r="E32" s="21" t="s">
        <v>149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13">
      <c r="A33" s="21" t="s">
        <v>151</v>
      </c>
      <c r="B33" s="21" t="s">
        <v>152</v>
      </c>
      <c r="C33" s="21" t="s">
        <v>146</v>
      </c>
      <c r="D33" s="21" t="s">
        <v>148</v>
      </c>
      <c r="E33" s="21" t="s">
        <v>153</v>
      </c>
      <c r="F33" s="21">
        <f>CEILING(BoardQty*2,1)</f>
        <v>2</v>
      </c>
      <c r="G33" s="22">
        <f>IF(MIN(K33)&lt;&gt;0,MIN(K33),"")</f>
        <v/>
      </c>
      <c r="H33" s="23">
        <f>IF(AND(ISNUMBER(F33),ISNUMBER(G33)),F33*G33,"")</f>
        <v/>
      </c>
    </row>
    <row r="34" spans="1:13">
      <c r="A34" s="21" t="s">
        <v>155</v>
      </c>
      <c r="B34" s="21" t="s">
        <v>156</v>
      </c>
      <c r="C34" s="21" t="s">
        <v>146</v>
      </c>
      <c r="D34" s="21" t="s">
        <v>148</v>
      </c>
      <c r="E34" s="21" t="s">
        <v>157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13">
      <c r="A35" s="21" t="s">
        <v>159</v>
      </c>
      <c r="B35" s="21" t="s">
        <v>160</v>
      </c>
      <c r="C35" s="21" t="s">
        <v>146</v>
      </c>
      <c r="D35" s="21" t="s">
        <v>148</v>
      </c>
      <c r="E35" s="21" t="s">
        <v>161</v>
      </c>
      <c r="F35" s="21">
        <f>BoardQty*1</f>
        <v>1</v>
      </c>
      <c r="G35" s="22">
        <f>IF(MIN(K35)&lt;&gt;0,MIN(K35),"")</f>
        <v/>
      </c>
      <c r="H35" s="23">
        <f>IF(AND(ISNUMBER(F35),ISNUMBER(G35)),F35*G35,"")</f>
        <v/>
      </c>
    </row>
    <row r="36" spans="1:13">
      <c r="A36" s="21" t="s">
        <v>163</v>
      </c>
      <c r="B36" s="21" t="s">
        <v>164</v>
      </c>
      <c r="C36" s="21" t="s">
        <v>146</v>
      </c>
      <c r="D36" s="21" t="s">
        <v>148</v>
      </c>
      <c r="E36" s="21" t="s">
        <v>165</v>
      </c>
      <c r="F36" s="21">
        <f>CEILING(BoardQty*2,1)</f>
        <v>2</v>
      </c>
      <c r="G36" s="22">
        <f>IF(MIN(K36)&lt;&gt;0,MIN(K36),"")</f>
        <v/>
      </c>
      <c r="H36" s="23">
        <f>IF(AND(ISNUMBER(F36),ISNUMBER(G36)),F36*G36,"")</f>
        <v/>
      </c>
    </row>
    <row r="37" spans="1:13">
      <c r="A37" s="21" t="s">
        <v>167</v>
      </c>
      <c r="B37" s="21" t="s">
        <v>168</v>
      </c>
      <c r="C37" s="21" t="s">
        <v>146</v>
      </c>
      <c r="D37" s="21" t="s">
        <v>148</v>
      </c>
      <c r="E37" s="21" t="s">
        <v>169</v>
      </c>
      <c r="F37" s="21">
        <f>BoardQty*1</f>
        <v>1</v>
      </c>
      <c r="G37" s="22">
        <f>IF(MIN(K37)&lt;&gt;0,MIN(K37),"")</f>
        <v/>
      </c>
      <c r="H37" s="23">
        <f>IF(AND(ISNUMBER(F37),ISNUMBER(G37)),F37*G37,"")</f>
        <v/>
      </c>
    </row>
    <row r="38" spans="1:13">
      <c r="A38" s="21" t="s">
        <v>171</v>
      </c>
      <c r="B38" s="21" t="s">
        <v>172</v>
      </c>
      <c r="C38" s="21" t="s">
        <v>174</v>
      </c>
      <c r="D38" s="21" t="s">
        <v>176</v>
      </c>
      <c r="E38" s="21" t="s">
        <v>177</v>
      </c>
      <c r="F38" s="21">
        <f>BoardQty*1</f>
        <v>1</v>
      </c>
      <c r="G38" s="22">
        <f>IF(MIN(K38)&lt;&gt;0,MIN(K38),"")</f>
        <v/>
      </c>
      <c r="H38" s="23">
        <f>IF(AND(ISNUMBER(F38),ISNUMBER(G38)),F38*G38,"")</f>
        <v/>
      </c>
    </row>
    <row r="39" spans="1:13">
      <c r="A39" s="21" t="s">
        <v>179</v>
      </c>
      <c r="B39" s="21" t="s">
        <v>180</v>
      </c>
      <c r="C39" s="21" t="s">
        <v>174</v>
      </c>
      <c r="D39" s="21" t="s">
        <v>176</v>
      </c>
      <c r="E39" s="21" t="s">
        <v>177</v>
      </c>
      <c r="F39" s="21">
        <f>BoardQty*1</f>
        <v>1</v>
      </c>
      <c r="G39" s="22">
        <f>IF(MIN(K39)&lt;&gt;0,MIN(K39),"")</f>
        <v/>
      </c>
      <c r="H39" s="23">
        <f>IF(AND(ISNUMBER(F39),ISNUMBER(G39)),F39*G39,"")</f>
        <v/>
      </c>
    </row>
    <row r="40" spans="1:13">
      <c r="A40" s="21" t="s">
        <v>182</v>
      </c>
      <c r="B40" s="21" t="s">
        <v>183</v>
      </c>
      <c r="C40" s="21" t="s">
        <v>174</v>
      </c>
      <c r="D40" s="21" t="s">
        <v>176</v>
      </c>
      <c r="E40" s="21" t="s">
        <v>177</v>
      </c>
      <c r="F40" s="21">
        <f>BoardQty*1</f>
        <v>1</v>
      </c>
      <c r="G40" s="22">
        <f>IF(MIN(K40)&lt;&gt;0,MIN(K40),"")</f>
        <v/>
      </c>
      <c r="H40" s="23">
        <f>IF(AND(ISNUMBER(F40),ISNUMBER(G40)),F40*G40,"")</f>
        <v/>
      </c>
    </row>
    <row r="41" spans="1:13">
      <c r="A41" s="21" t="s">
        <v>185</v>
      </c>
      <c r="B41" s="21" t="s">
        <v>186</v>
      </c>
      <c r="C41" s="21" t="s">
        <v>174</v>
      </c>
      <c r="D41" s="21" t="s">
        <v>176</v>
      </c>
      <c r="E41" s="21" t="s">
        <v>177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13">
      <c r="A42" s="21" t="s">
        <v>188</v>
      </c>
      <c r="B42" s="21" t="s">
        <v>189</v>
      </c>
      <c r="C42" s="21" t="s">
        <v>191</v>
      </c>
      <c r="D42" s="21" t="s">
        <v>193</v>
      </c>
      <c r="E42" s="21" t="s">
        <v>194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3">
      <c r="A43" s="21" t="s">
        <v>196</v>
      </c>
      <c r="B43" s="21" t="s">
        <v>197</v>
      </c>
      <c r="C43" s="21" t="s">
        <v>199</v>
      </c>
      <c r="D43" s="21" t="s">
        <v>200</v>
      </c>
      <c r="E43" s="21" t="s">
        <v>201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3">
      <c r="A44" s="21" t="s">
        <v>203</v>
      </c>
      <c r="B44" s="21" t="s">
        <v>204</v>
      </c>
      <c r="C44" s="21" t="s">
        <v>206</v>
      </c>
      <c r="D44" s="21" t="s">
        <v>208</v>
      </c>
      <c r="E44" s="21" t="s">
        <v>206</v>
      </c>
      <c r="F44" s="21">
        <f>CEILING(BoardQty*2,1)</f>
        <v>2</v>
      </c>
      <c r="G44" s="22">
        <f>IF(MIN(K44)&lt;&gt;0,MIN(K44),"")</f>
        <v/>
      </c>
      <c r="H44" s="23">
        <f>IF(AND(ISNUMBER(F44),ISNUMBER(G44)),F44*G44,"")</f>
        <v/>
      </c>
    </row>
    <row r="45" spans="1:13">
      <c r="A45" s="21" t="s">
        <v>210</v>
      </c>
      <c r="B45" s="21" t="s">
        <v>211</v>
      </c>
      <c r="C45" s="21" t="s">
        <v>213</v>
      </c>
      <c r="D45" s="21" t="s">
        <v>123</v>
      </c>
      <c r="E45" s="21" t="s">
        <v>213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7" spans="1:13">
      <c r="G47" s="14" t="s">
        <v>243</v>
      </c>
      <c r="H47" s="16">
        <f>SUM(M47)</f>
        <v>0</v>
      </c>
      <c r="I47" s="24" t="s">
        <v>242</v>
      </c>
      <c r="J47" s="17">
        <f>IFERROR(IF(COUNTIF(J10:J45,"&gt;0")&gt;0,COUNTIF(J10:J45,"&gt;0")&amp;" of "&amp;(ROWS(L10:L45)-COUNTBLANK(L10:L45))&amp;" parts purchased",""),"")</f>
        <v/>
      </c>
      <c r="M47" s="16">
        <f>SUMIF(J10:J45,"&gt;0",M10:M45)</f>
        <v>0</v>
      </c>
    </row>
    <row r="48" spans="1:13">
      <c r="A48" s="25" t="s">
        <v>248</v>
      </c>
      <c r="B48" s="26" t="s">
        <v>249</v>
      </c>
      <c r="G48" s="27" t="s">
        <v>244</v>
      </c>
      <c r="J48" s="28">
        <f>CONCATENATE(J85,J86,J87,J88,J89,J90,J91,J92,J93,J94,J95,J96,J97,J98,J99,J100,J101,J102,J103,J104,J105,J106,J107,J108,J109,J110,J111,J112,J113,J114,J115,J116,J117,J118,J119,J120)</f>
        <v/>
      </c>
    </row>
    <row r="49" spans="1:1">
      <c r="A49" s="29" t="s">
        <v>250</v>
      </c>
    </row>
    <row r="85" spans="10:10" ht="30" hidden="1" customHeight="1">
      <c r="J85" t="str">
        <f t="array" ref="J85:J120">IF(ISNUMBER(J10:J45)*(J10:J45&gt;=L10:L45)*(N10:N45&lt;&gt;""),N10:N45&amp;"|"&amp;TEXT(ROUNDUP(J10:J45/IF(ISNUMBER(L10:L45),L10:L45,1),0)*L10:L45,"##0")&amp;"|"&amp;SUBSTITUTE(SUBSTITUTE(SUBSTITUTE(IF(PURCHASE_DESCRIPTION&lt;&gt;"",PURCHASE_DESCRIPTION&amp;":","")&amp;A10:A45,"|",";")," ","_"),"
","_")&amp;CHAR(13),"")</f>
        <v/>
      </c>
    </row>
    <row r="86" spans="10:10" ht="30" hidden="1" customHeight="1">
      <c r="J86">
        <v>0</v>
      </c>
    </row>
    <row r="87" spans="10:10" ht="30" hidden="1" customHeight="1">
      <c r="J87">
        <v>0</v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  <row r="106" spans="10:10" ht="30" hidden="1" customHeight="1">
      <c r="J106">
        <v>0</v>
      </c>
    </row>
    <row r="107" spans="10:10" ht="30" hidden="1" customHeight="1">
      <c r="J107">
        <v>0</v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</sheetData>
  <mergeCells count="4">
    <mergeCell ref="A8:H8"/>
    <mergeCell ref="I8:N8"/>
    <mergeCell ref="J48:M84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I47" r:id="rId37"/>
  </hyperlinks>
  <pageMargins left="0.7" right="0.7" top="0.75" bottom="0.75" header="0.3" footer="0.3"/>
  <legacyDrawing r:id="rId38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251</v>
      </c>
    </row>
    <row r="2" spans="1:1">
      <c r="A2" s="6" t="s">
        <v>252</v>
      </c>
    </row>
    <row r="3" spans="1:1">
      <c r="A3" s="5" t="s">
        <v>253</v>
      </c>
    </row>
    <row r="4" spans="1:1">
      <c r="A4" s="7" t="s">
        <v>254</v>
      </c>
    </row>
    <row r="5" spans="1:1">
      <c r="A5" s="12" t="s">
        <v>255</v>
      </c>
    </row>
    <row r="7" spans="1:1">
      <c r="A7" t="s">
        <v>256</v>
      </c>
    </row>
    <row r="8" spans="1:1">
      <c r="A8" s="30" t="s">
        <v>257</v>
      </c>
    </row>
    <row r="9" spans="1:1">
      <c r="A9" s="31" t="s">
        <v>258</v>
      </c>
    </row>
    <row r="10" spans="1:1">
      <c r="A10" s="32" t="s">
        <v>259</v>
      </c>
    </row>
    <row r="11" spans="1:1">
      <c r="A11" s="33" t="s">
        <v>260</v>
      </c>
    </row>
    <row r="12" spans="1:1">
      <c r="A12" s="34" t="s">
        <v>261</v>
      </c>
    </row>
    <row r="13" spans="1:1">
      <c r="A13" s="35" t="s">
        <v>262</v>
      </c>
    </row>
    <row r="14" spans="1:1">
      <c r="A14" s="36" t="s">
        <v>263</v>
      </c>
    </row>
    <row r="15" spans="1:1">
      <c r="A15" s="37" t="s">
        <v>264</v>
      </c>
    </row>
    <row r="16" spans="1:1">
      <c r="A16" s="3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2026-10-29T20:31:02Z</dcterms:created>
  <dcterms:modified xsi:type="dcterms:W3CDTF">2026-10-29T20:31:02Z</dcterms:modified>
</cp:coreProperties>
</file>